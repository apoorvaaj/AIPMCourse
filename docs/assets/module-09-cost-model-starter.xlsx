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Model A" sheetId="3" state="visible" r:id="rId5"/>
    <sheet name="Model C" sheetId="4" state="visible" r:id="rId6"/>
    <sheet name="Scenarios" sheetId="5" state="visible" r:id="rId7"/>
    <sheet name="Levers" sheetId="6" state="visible" r:id="rId8"/>
    <sheet name="Sensitivity" sheetId="7" state="visible" r:id="rId9"/>
    <sheet name="Check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<sst xmlns="http://schemas.openxmlformats.org/spreadsheetml/2006/main" count="352" uniqueCount="231">
  <si>
    <t xml:space="preserve">Module 9 · Harbourview AI cost model · starter workbook</t>
  </si>
  <si>
    <t xml:space="preserve">Harbourview Polyclinics and all figures are fictional, for teaching. S$ = Singapore dollars.</t>
  </si>
  <si>
    <t xml:space="preserve">HOW TO USE THIS WORKBOOK</t>
  </si>
  <si>
    <t xml:space="preserve">1. Inputs: every case figure, in blue, with its source in the case pack. Change an input and the whole model should follow.</t>
  </si>
  <si>
    <t xml:space="preserve">2. Model A (medicine questions assistant) and Model C (consultation note drafter): fill every YELLOW cell with a formula that refers to Inputs.</t>
  </si>
  <si>
    <t xml:space="preserve">   Row 6 on each model sheet is a worked example showing the expected style. Never type a result as a number.</t>
  </si>
  <si>
    <t xml:space="preserve">3. Each model sheet has a price multiplier cell (C3). Set it to 0.5, 1 or 1.5 to see the price scenarios.</t>
  </si>
  <si>
    <t xml:space="preserve">4. Scenarios: fill the two 3 x 3 grids of net value a month. Hint: write each cell as one formula, or copy a model sheet once per price level.</t>
  </si>
  <si>
    <t xml:space="preserve">5. Levers: work out the cost per question with your chosen levers and compare it with the S$1,500 cap.</t>
  </si>
  <si>
    <t xml:space="preserve">6. Checks: compares your base-case results (30% adoption, today's prices, case defaults) with the expected figures. Aim for every row to say OK.</t>
  </si>
  <si>
    <t xml:space="preserve">7. Sensitivity: vary at least three assumptions per initiative from low to high and record the net value.</t>
  </si>
  <si>
    <t xml:space="preserve">COLOUR KEY</t>
  </si>
  <si>
    <t xml:space="preserve">Blue text = input you may change · Black = formula · Green = link to another sheet · Yellow fill = cell for you to complete</t>
  </si>
  <si>
    <t xml:space="preserve">The shared rules are in case section 6 on the Module 9 page. You may change an assumption if you say why; keep the shared-rule result alongside.</t>
  </si>
  <si>
    <t xml:space="preserve">Inputs · every figure from the case pack</t>
  </si>
  <si>
    <t xml:space="preserve">Input</t>
  </si>
  <si>
    <t xml:space="preserve">Value</t>
  </si>
  <si>
    <t xml:space="preserve">Unit</t>
  </si>
  <si>
    <t xml:space="preserve">Source in the case pack</t>
  </si>
  <si>
    <t xml:space="preserve">— Shared —</t>
  </si>
  <si>
    <t xml:space="preserve">Budget, year from 1 April</t>
  </si>
  <si>
    <t xml:space="preserve">S$</t>
  </si>
  <si>
    <t xml:space="preserve">Case 1 · CFO rule 1</t>
  </si>
  <si>
    <t xml:space="preserve">Realisation rate for freed staff time</t>
  </si>
  <si>
    <t xml:space="preserve">share</t>
  </si>
  <si>
    <t xml:space="preserve">Case 1 · CFO rule 3</t>
  </si>
  <si>
    <t xml:space="preserve">Medicine assistant cap: model + database a month</t>
  </si>
  <si>
    <t xml:space="preserve">Case 1 · CFO rule 4</t>
  </si>
  <si>
    <t xml:space="preserve">Price scenario: lower</t>
  </si>
  <si>
    <t xml:space="preserve">x</t>
  </si>
  <si>
    <t xml:space="preserve">Case 1 · CFO rule 5</t>
  </si>
  <si>
    <t xml:space="preserve">Price scenario: higher</t>
  </si>
  <si>
    <t xml:space="preserve">Adoption scenario 1</t>
  </si>
  <si>
    <t xml:space="preserve">CFO memo</t>
  </si>
  <si>
    <t xml:space="preserve">Adoption scenario 2</t>
  </si>
  <si>
    <t xml:space="preserve">Adoption scenario 3</t>
  </si>
  <si>
    <t xml:space="preserve">— Medicine questions assistant (A) —</t>
  </si>
  <si>
    <t xml:space="preserve">Eligible patients, nine clinics</t>
  </si>
  <si>
    <t xml:space="preserve">patients</t>
  </si>
  <si>
    <t xml:space="preserve">Case 2</t>
  </si>
  <si>
    <t xml:space="preserve">Questions per active user a month</t>
  </si>
  <si>
    <t xml:space="preserve">questions</t>
  </si>
  <si>
    <t xml:space="preserve">Case 2 · pilot</t>
  </si>
  <si>
    <t xml:space="preserve">Input tokens: instructions (same every time)</t>
  </si>
  <si>
    <t xml:space="preserve">tokens</t>
  </si>
  <si>
    <t xml:space="preserve">Case 2 · costs</t>
  </si>
  <si>
    <t xml:space="preserve">Input tokens: prescription summary</t>
  </si>
  <si>
    <t xml:space="preserve">Input tokens: question and recent messages</t>
  </si>
  <si>
    <t xml:space="preserve">Input tokens: three leaflet passages</t>
  </si>
  <si>
    <t xml:space="preserve">Output tokens per answer</t>
  </si>
  <si>
    <t xml:space="preserve">Standard model: input price per million tokens</t>
  </si>
  <si>
    <t xml:space="preserve">Case 4</t>
  </si>
  <si>
    <t xml:space="preserve">Standard model: output price per million tokens</t>
  </si>
  <si>
    <t xml:space="preserve">Share of answers checked by the judge</t>
  </si>
  <si>
    <t xml:space="preserve">Judge input tokens per check</t>
  </si>
  <si>
    <t xml:space="preserve">Judge output tokens per check</t>
  </si>
  <si>
    <t xml:space="preserve">Platform, hosting and monitoring a month</t>
  </si>
  <si>
    <t xml:space="preserve">Leaflet search database a month</t>
  </si>
  <si>
    <t xml:space="preserve">Pharmacist safety review hours a month</t>
  </si>
  <si>
    <t xml:space="preserve">hours</t>
  </si>
  <si>
    <t xml:space="preserve">Employed pharmacist cost an hour</t>
  </si>
  <si>
    <t xml:space="preserve">Agency pharmacist cost an hour</t>
  </si>
  <si>
    <t xml:space="preserve">Agency hours bought a month (cash-releasing ceiling)</t>
  </si>
  <si>
    <t xml:space="preserve">Helpline calls avoided per active user a month</t>
  </si>
  <si>
    <t xml:space="preserve">calls</t>
  </si>
  <si>
    <t xml:space="preserve">Case 2 · pilot, measured at 23% adoption</t>
  </si>
  <si>
    <t xml:space="preserve">Pharmacist minutes per routine call</t>
  </si>
  <si>
    <t xml:space="preserve">minutes</t>
  </si>
  <si>
    <t xml:space="preserve">Handover rate (share of questions)</t>
  </si>
  <si>
    <t xml:space="preserve">Case 2 · build 1.1; build 1.2 aims for 8%</t>
  </si>
  <si>
    <t xml:space="preserve">Pharmacist minutes per written handover reply</t>
  </si>
  <si>
    <t xml:space="preserve">Spare written-message capacity a day</t>
  </si>
  <si>
    <t xml:space="preserve">messages</t>
  </si>
  <si>
    <t xml:space="preserve">One-off rollout cost</t>
  </si>
  <si>
    <t xml:space="preserve">— Consultation note drafter (C) —</t>
  </si>
  <si>
    <t xml:space="preserve">Doctor consultations a month, all clinics</t>
  </si>
  <si>
    <t xml:space="preserve">consultations</t>
  </si>
  <si>
    <t xml:space="preserve">Case 3</t>
  </si>
  <si>
    <t xml:space="preserve">Patients agreeing to recording</t>
  </si>
  <si>
    <t xml:space="preserve">Case 3 · pilot</t>
  </si>
  <si>
    <t xml:space="preserve">Doctors</t>
  </si>
  <si>
    <t xml:space="preserve">doctors</t>
  </si>
  <si>
    <t xml:space="preserve">Minutes saved per drafted note</t>
  </si>
  <si>
    <t xml:space="preserve">Case 3 · pilot of six volunteers; reference sites 1.0</t>
  </si>
  <si>
    <t xml:space="preserve">Doctor cost an hour</t>
  </si>
  <si>
    <t xml:space="preserve">Price plan: 1 = per note, 2 = per seat, 3 = per accepted note</t>
  </si>
  <si>
    <t xml:space="preserve">choice</t>
  </si>
  <si>
    <t xml:space="preserve">Your choice · case 3</t>
  </si>
  <si>
    <t xml:space="preserve">Per note price</t>
  </si>
  <si>
    <t xml:space="preserve">Case 3 · plans</t>
  </si>
  <si>
    <t xml:space="preserve">Per seat price a month</t>
  </si>
  <si>
    <t xml:space="preserve">Minimum seats</t>
  </si>
  <si>
    <t xml:space="preserve">seats</t>
  </si>
  <si>
    <t xml:space="preserve">Price per accepted note</t>
  </si>
  <si>
    <t xml:space="preserve">Share of drafts accepted (fewer than 20% of words changed)</t>
  </si>
  <si>
    <t xml:space="preserve">Share of drafted notes audited</t>
  </si>
  <si>
    <t xml:space="preserve">Case 3 · costs</t>
  </si>
  <si>
    <t xml:space="preserve">Doctor minutes per audit</t>
  </si>
  <si>
    <t xml:space="preserve">Devices support and monitoring a month</t>
  </si>
  <si>
    <t xml:space="preserve">Model A · medicine questions assistant</t>
  </si>
  <si>
    <t xml:space="preserve">Price multiplier for this sheet (0.5, 1 or 1.5)</t>
  </si>
  <si>
    <t xml:space="preserve">Line</t>
  </si>
  <si>
    <t xml:space="preserve">Adoption 1</t>
  </si>
  <si>
    <t xml:space="preserve">Adoption 2</t>
  </si>
  <si>
    <t xml:space="preserve">Adoption 3</t>
  </si>
  <si>
    <t xml:space="preserve">Hint (how the shared rule works)</t>
  </si>
  <si>
    <t xml:space="preserve">Adoption</t>
  </si>
  <si>
    <t xml:space="preserve">Active users</t>
  </si>
  <si>
    <t xml:space="preserve">users</t>
  </si>
  <si>
    <t xml:space="preserve">Eligible patients × adoption (worked example)</t>
  </si>
  <si>
    <t xml:space="preserve">Questions a month</t>
  </si>
  <si>
    <t xml:space="preserve">Active users × questions per active user</t>
  </si>
  <si>
    <t xml:space="preserve">Assistant cost per question</t>
  </si>
  <si>
    <t xml:space="preserve">(input tokens × input price + output tokens × output price) ÷ 1,000,000 × price multiplier</t>
  </si>
  <si>
    <t xml:space="preserve">Judge cost per question</t>
  </si>
  <si>
    <t xml:space="preserve">Share judged × judge tokens cost × price multiplier</t>
  </si>
  <si>
    <t xml:space="preserve">Model cost a month</t>
  </si>
  <si>
    <t xml:space="preserve">Questions × (assistant + judge cost per question)</t>
  </si>
  <si>
    <t xml:space="preserve">Fixed cost a month</t>
  </si>
  <si>
    <t xml:space="preserve">Platform + database + safety review hours × pharmacist rate</t>
  </si>
  <si>
    <t xml:space="preserve">Running cost a month</t>
  </si>
  <si>
    <t xml:space="preserve">Model + fixed</t>
  </si>
  <si>
    <t xml:space="preserve">Pharmacist hours saved a month</t>
  </si>
  <si>
    <t xml:space="preserve">(users × calls avoided × minutes per call − questions × handover rate × minutes per reply) ÷ 60</t>
  </si>
  <si>
    <t xml:space="preserve">Value a month</t>
  </si>
  <si>
    <t xml:space="preserve">First 300 hours are cash at the agency rate; beyond that, pharmacist rate × realisation; negative hours cost the agency rate</t>
  </si>
  <si>
    <t xml:space="preserve">Net value a month</t>
  </si>
  <si>
    <t xml:space="preserve">Value − running cost</t>
  </si>
  <si>
    <t xml:space="preserve">First-year cost</t>
  </si>
  <si>
    <t xml:space="preserve">One-off + 12 × running cost</t>
  </si>
  <si>
    <t xml:space="preserve">Fits the budget?</t>
  </si>
  <si>
    <t xml:space="preserve">yes/no</t>
  </si>
  <si>
    <t xml:space="preserve">Compare with the budget input</t>
  </si>
  <si>
    <t xml:space="preserve">Payback</t>
  </si>
  <si>
    <t xml:space="preserve">months</t>
  </si>
  <si>
    <t xml:space="preserve">One-off ÷ net value a month, only if net is positive</t>
  </si>
  <si>
    <t xml:space="preserve">Handovers a day</t>
  </si>
  <si>
    <t xml:space="preserve">Questions × handover rate ÷ 30; compare with spare capacity</t>
  </si>
  <si>
    <t xml:space="preserve">Model + database a month</t>
  </si>
  <si>
    <t xml:space="preserve">Compare with the S$1,500 cap</t>
  </si>
  <si>
    <t xml:space="preserve">Running cost per active user</t>
  </si>
  <si>
    <t xml:space="preserve">Running cost ÷ active users</t>
  </si>
  <si>
    <t xml:space="preserve">Model C · consultation note drafter</t>
  </si>
  <si>
    <t xml:space="preserve">Doctors using it</t>
  </si>
  <si>
    <t xml:space="preserve">Doctors × adoption, rounded up (worked example)</t>
  </si>
  <si>
    <t xml:space="preserve">Drafted notes a month</t>
  </si>
  <si>
    <t xml:space="preserve">notes</t>
  </si>
  <si>
    <t xml:space="preserve">Consultations × adoption × consent rate</t>
  </si>
  <si>
    <t xml:space="preserve">Licence a month</t>
  </si>
  <si>
    <t xml:space="preserve">Depends on the plan input: per note; larger of minimum seats and doctors × seat price; notes × accepted share × outcome price. × price multiplier</t>
  </si>
  <si>
    <t xml:space="preserve">Clinical audit a month</t>
  </si>
  <si>
    <t xml:space="preserve">Notes × share audited × minutes ÷ 60 × doctor rate</t>
  </si>
  <si>
    <t xml:space="preserve">Licence + audit + devices support</t>
  </si>
  <si>
    <t xml:space="preserve">Running cost per note</t>
  </si>
  <si>
    <t xml:space="preserve">Running cost ÷ notes</t>
  </si>
  <si>
    <t xml:space="preserve">Doctor hours freed a month</t>
  </si>
  <si>
    <t xml:space="preserve">Notes × minutes saved ÷ 60</t>
  </si>
  <si>
    <t xml:space="preserve">Hours × doctor rate × realisation rate (capacity, not cash)</t>
  </si>
  <si>
    <t xml:space="preserve">Scenarios · net value a month (S$)</t>
  </si>
  <si>
    <t xml:space="preserve">Rows: adoption. Columns: price multiplier. Each cell must be a formula, so the grid follows the inputs.</t>
  </si>
  <si>
    <t xml:space="preserve">Medicine questions assistant</t>
  </si>
  <si>
    <t xml:space="preserve">Price × lower</t>
  </si>
  <si>
    <t xml:space="preserve">Price × 1</t>
  </si>
  <si>
    <t xml:space="preserve">Price × higher</t>
  </si>
  <si>
    <t xml:space="preserve">Multiplier</t>
  </si>
  <si>
    <t xml:space="preserve">Consultation note drafter (plan as set on Inputs)</t>
  </si>
  <si>
    <t xml:space="preserve">Levers · medicine assistant cost per question</t>
  </si>
  <si>
    <t xml:space="preserve">Set each lever to 1 (on) or 0 (off). Fill the yellow cells with formulas. Case section 4 gives the provider terms.</t>
  </si>
  <si>
    <t xml:space="preserve">Lever input</t>
  </si>
  <si>
    <t xml:space="preserve">Note</t>
  </si>
  <si>
    <t xml:space="preserve">Cache the instructions (1/0)</t>
  </si>
  <si>
    <t xml:space="preserve">Share of questions reusing the cache</t>
  </si>
  <si>
    <t xml:space="preserve">Cache read price as share of input price</t>
  </si>
  <si>
    <t xml:space="preserve">Cache write price as share of input price</t>
  </si>
  <si>
    <t xml:space="preserve">Two passages instead of three (1/0)</t>
  </si>
  <si>
    <t xml:space="preserve">Cap answers at 180 tokens (1/0)</t>
  </si>
  <si>
    <t xml:space="preserve">Capped output tokens</t>
  </si>
  <si>
    <t xml:space="preserve">Route routine questions to the small model (1/0)</t>
  </si>
  <si>
    <t xml:space="preserve">Share of questions routed</t>
  </si>
  <si>
    <t xml:space="preserve">Small model price as share of standard</t>
  </si>
  <si>
    <t xml:space="preserve">Router input tokens on the small model</t>
  </si>
  <si>
    <t xml:space="preserve">Small model input price per million</t>
  </si>
  <si>
    <t xml:space="preserve">Run the judge as a batch at half price (1/0)</t>
  </si>
  <si>
    <t xml:space="preserve">Result</t>
  </si>
  <si>
    <t xml:space="preserve">Hint</t>
  </si>
  <si>
    <t xml:space="preserve">Assistant cost per question with levers</t>
  </si>
  <si>
    <t xml:space="preserve">Instructions (cached or not) + other input + output; then the routed share at the small model price plus the router</t>
  </si>
  <si>
    <t xml:space="preserve">Judge cost per question with levers</t>
  </si>
  <si>
    <t xml:space="preserve">Judge cost, halved if batched</t>
  </si>
  <si>
    <t xml:space="preserve">Total cost per question</t>
  </si>
  <si>
    <t xml:space="preserve">Assistant + judge</t>
  </si>
  <si>
    <t xml:space="preserve">Model + database a month at adoption scenario 3, today's prices</t>
  </si>
  <si>
    <t xml:space="preserve">Questions at scenario 3 × total cost per question + database; compare with the cap</t>
  </si>
  <si>
    <t xml:space="preserve">Same, prices at the higher scenario</t>
  </si>
  <si>
    <t xml:space="preserve">Multiply the token part by the higher price multiplier</t>
  </si>
  <si>
    <t xml:space="preserve">Sensitivity · what swings the answer (adoption scenario 2, today's prices)</t>
  </si>
  <si>
    <t xml:space="preserve">Change one input at a time on Inputs, record the net value a month, then put the input back. Add your own rows.</t>
  </si>
  <si>
    <t xml:space="preserve">Initiative</t>
  </si>
  <si>
    <t xml:space="preserve">Assumption</t>
  </si>
  <si>
    <t xml:space="preserve">Low value</t>
  </si>
  <si>
    <t xml:space="preserve">Net value at low</t>
  </si>
  <si>
    <t xml:space="preserve">High value</t>
  </si>
  <si>
    <t xml:space="preserve">Net value at high</t>
  </si>
  <si>
    <t xml:space="preserve">Range (S$)</t>
  </si>
  <si>
    <t xml:space="preserve">Crosses zero?</t>
  </si>
  <si>
    <t xml:space="preserve">A</t>
  </si>
  <si>
    <t xml:space="preserve">Model price multiplier</t>
  </si>
  <si>
    <t xml:space="preserve">Handover rate</t>
  </si>
  <si>
    <t xml:space="preserve">Calls avoided per active user</t>
  </si>
  <si>
    <t xml:space="preserve">C</t>
  </si>
  <si>
    <t xml:space="preserve">Minutes saved per note</t>
  </si>
  <si>
    <t xml:space="preserve">Realisation rate</t>
  </si>
  <si>
    <t xml:space="preserve">Licence price multiplier</t>
  </si>
  <si>
    <t xml:space="preserve">Checks · base case (adoption scenario 2 = 30%, price multiplier 1, case inputs, per-note plan)</t>
  </si>
  <si>
    <t xml:space="preserve">Set Inputs back to the case figures and both price multipliers to 1. Every row should say OK. Expected values come from the course team's reference model.</t>
  </si>
  <si>
    <t xml:space="preserve">Check</t>
  </si>
  <si>
    <t xml:space="preserve">Your result</t>
  </si>
  <si>
    <t xml:space="preserve">Expected</t>
  </si>
  <si>
    <t xml:space="preserve">Difference</t>
  </si>
  <si>
    <t xml:space="preserve">Status</t>
  </si>
  <si>
    <t xml:space="preserve">Assistant: cost per question (assistant + judge)</t>
  </si>
  <si>
    <t xml:space="preserve">Assistant: running cost a month</t>
  </si>
  <si>
    <t xml:space="preserve">Assistant: pharmacist hours saved a month</t>
  </si>
  <si>
    <t xml:space="preserve">Assistant: value a month</t>
  </si>
  <si>
    <t xml:space="preserve">Assistant: net value a month</t>
  </si>
  <si>
    <t xml:space="preserve">Assistant: handovers a day</t>
  </si>
  <si>
    <t xml:space="preserve">Drafter: drafted notes a month</t>
  </si>
  <si>
    <t xml:space="preserve">Drafter: licence a month (per-note plan)</t>
  </si>
  <si>
    <t xml:space="preserve">Drafter: clinical audit a month</t>
  </si>
  <si>
    <t xml:space="preserve">Drafter: value a month</t>
  </si>
  <si>
    <t xml:space="preserve">Drafter: net value a month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</si>
</sst>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S$&quot;#,##0;&quot;(S$&quot;#,##0\);\-"/>
    <numFmt numFmtId="166" formatCode="0.0%"/>
    <numFmt numFmtId="167" formatCode="0.0"/>
    <numFmt numFmtId="168" formatCode="#,##0;\(#,##0\);\-"/>
    <numFmt numFmtId="169" formatCode="&quot;S$&quot;#,##0.00"/>
    <numFmt numFmtId="170" formatCode="0.00"/>
    <numFmt numFmtId="171" formatCode="0"/>
    <numFmt numFmtId="172" formatCode="&quot;S$&quot;0.0000"/>
    <numFmt numFmtId="173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233B"/>
        <bgColor rgb="FF333333"/>
      </patternFill>
    </fill>
    <fill>
      <patternFill patternType="solid">
        <fgColor rgb="FFEEF2F5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5"/>
      <rgbColor rgb="FFCCFFFF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233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14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</row>
    <row r="4" customFormat="false" ht="15" hidden="false" customHeight="false" outlineLevel="0" collapsed="false">
      <c r="A4" s="6" t="s">
        <v>19</v>
      </c>
      <c r="B4" s="7"/>
      <c r="C4" s="7"/>
      <c r="D4" s="7"/>
    </row>
    <row r="5" customFormat="false" ht="15" hidden="false" customHeight="false" outlineLevel="0" collapsed="false">
      <c r="A5" s="3" t="s">
        <v>20</v>
      </c>
      <c r="B5" s="8" t="n">
        <v>450000</v>
      </c>
      <c r="C5" s="3" t="s">
        <v>21</v>
      </c>
      <c r="D5" s="3" t="s">
        <v>22</v>
      </c>
    </row>
    <row r="6" customFormat="false" ht="15" hidden="false" customHeight="false" outlineLevel="0" collapsed="false">
      <c r="A6" s="3" t="s">
        <v>23</v>
      </c>
      <c r="B6" s="9" t="n">
        <v>0.3</v>
      </c>
      <c r="C6" s="3" t="s">
        <v>24</v>
      </c>
      <c r="D6" s="3" t="s">
        <v>25</v>
      </c>
    </row>
    <row r="7" customFormat="false" ht="15" hidden="false" customHeight="false" outlineLevel="0" collapsed="false">
      <c r="A7" s="3" t="s">
        <v>26</v>
      </c>
      <c r="B7" s="8" t="n">
        <v>1500</v>
      </c>
      <c r="C7" s="3" t="s">
        <v>21</v>
      </c>
      <c r="D7" s="3" t="s">
        <v>27</v>
      </c>
    </row>
    <row r="8" customFormat="false" ht="15" hidden="false" customHeight="false" outlineLevel="0" collapsed="false">
      <c r="A8" s="3" t="s">
        <v>28</v>
      </c>
      <c r="B8" s="10" t="n">
        <v>0.5</v>
      </c>
      <c r="C8" s="3" t="s">
        <v>29</v>
      </c>
      <c r="D8" s="3" t="s">
        <v>30</v>
      </c>
    </row>
    <row r="9" customFormat="false" ht="15" hidden="false" customHeight="false" outlineLevel="0" collapsed="false">
      <c r="A9" s="3" t="s">
        <v>31</v>
      </c>
      <c r="B9" s="10" t="n">
        <v>1.5</v>
      </c>
      <c r="C9" s="3" t="s">
        <v>29</v>
      </c>
      <c r="D9" s="3" t="s">
        <v>30</v>
      </c>
    </row>
    <row r="10" customFormat="false" ht="15" hidden="false" customHeight="false" outlineLevel="0" collapsed="false">
      <c r="A10" s="3" t="s">
        <v>32</v>
      </c>
      <c r="B10" s="9" t="n">
        <v>0.1</v>
      </c>
      <c r="C10" s="3" t="s">
        <v>24</v>
      </c>
      <c r="D10" s="3" t="s">
        <v>33</v>
      </c>
    </row>
    <row r="11" customFormat="false" ht="15" hidden="false" customHeight="false" outlineLevel="0" collapsed="false">
      <c r="A11" s="3" t="s">
        <v>34</v>
      </c>
      <c r="B11" s="9" t="n">
        <v>0.3</v>
      </c>
      <c r="C11" s="3" t="s">
        <v>24</v>
      </c>
      <c r="D11" s="3" t="s">
        <v>33</v>
      </c>
    </row>
    <row r="12" customFormat="false" ht="15" hidden="false" customHeight="false" outlineLevel="0" collapsed="false">
      <c r="A12" s="3" t="s">
        <v>35</v>
      </c>
      <c r="B12" s="9" t="n">
        <v>0.6</v>
      </c>
      <c r="C12" s="3" t="s">
        <v>24</v>
      </c>
      <c r="D12" s="3" t="s">
        <v>33</v>
      </c>
    </row>
    <row r="13" customFormat="false" ht="15" hidden="false" customHeight="false" outlineLevel="0" collapsed="false">
      <c r="A13" s="6" t="s">
        <v>36</v>
      </c>
      <c r="B13" s="7"/>
      <c r="C13" s="7"/>
      <c r="D13" s="7"/>
    </row>
    <row r="14" customFormat="false" ht="15" hidden="false" customHeight="false" outlineLevel="0" collapsed="false">
      <c r="A14" s="3" t="s">
        <v>37</v>
      </c>
      <c r="B14" s="11" t="n">
        <v>120000</v>
      </c>
      <c r="C14" s="3" t="s">
        <v>38</v>
      </c>
      <c r="D14" s="3" t="s">
        <v>39</v>
      </c>
    </row>
    <row r="15" customFormat="false" ht="15" hidden="false" customHeight="false" outlineLevel="0" collapsed="false">
      <c r="A15" s="3" t="s">
        <v>40</v>
      </c>
      <c r="B15" s="10" t="n">
        <v>1.4</v>
      </c>
      <c r="C15" s="3" t="s">
        <v>41</v>
      </c>
      <c r="D15" s="3" t="s">
        <v>42</v>
      </c>
    </row>
    <row r="16" customFormat="false" ht="15" hidden="false" customHeight="false" outlineLevel="0" collapsed="false">
      <c r="A16" s="3" t="s">
        <v>43</v>
      </c>
      <c r="B16" s="11" t="n">
        <v>1100</v>
      </c>
      <c r="C16" s="3" t="s">
        <v>44</v>
      </c>
      <c r="D16" s="3" t="s">
        <v>45</v>
      </c>
    </row>
    <row r="17" customFormat="false" ht="15" hidden="false" customHeight="false" outlineLevel="0" collapsed="false">
      <c r="A17" s="3" t="s">
        <v>46</v>
      </c>
      <c r="B17" s="11" t="n">
        <v>400</v>
      </c>
      <c r="C17" s="3" t="s">
        <v>44</v>
      </c>
      <c r="D17" s="3" t="s">
        <v>45</v>
      </c>
    </row>
    <row r="18" customFormat="false" ht="15" hidden="false" customHeight="false" outlineLevel="0" collapsed="false">
      <c r="A18" s="3" t="s">
        <v>47</v>
      </c>
      <c r="B18" s="11" t="n">
        <v>160</v>
      </c>
      <c r="C18" s="3" t="s">
        <v>44</v>
      </c>
      <c r="D18" s="3" t="s">
        <v>45</v>
      </c>
    </row>
    <row r="19" customFormat="false" ht="15" hidden="false" customHeight="false" outlineLevel="0" collapsed="false">
      <c r="A19" s="3" t="s">
        <v>48</v>
      </c>
      <c r="B19" s="11" t="n">
        <v>1600</v>
      </c>
      <c r="C19" s="3" t="s">
        <v>44</v>
      </c>
      <c r="D19" s="3" t="s">
        <v>45</v>
      </c>
    </row>
    <row r="20" customFormat="false" ht="15" hidden="false" customHeight="false" outlineLevel="0" collapsed="false">
      <c r="A20" s="3" t="s">
        <v>49</v>
      </c>
      <c r="B20" s="11" t="n">
        <v>250</v>
      </c>
      <c r="C20" s="3" t="s">
        <v>44</v>
      </c>
      <c r="D20" s="3" t="s">
        <v>45</v>
      </c>
    </row>
    <row r="21" customFormat="false" ht="15" hidden="false" customHeight="false" outlineLevel="0" collapsed="false">
      <c r="A21" s="3" t="s">
        <v>50</v>
      </c>
      <c r="B21" s="12" t="n">
        <v>4</v>
      </c>
      <c r="C21" s="3" t="s">
        <v>21</v>
      </c>
      <c r="D21" s="3" t="s">
        <v>51</v>
      </c>
    </row>
    <row r="22" customFormat="false" ht="15" hidden="false" customHeight="false" outlineLevel="0" collapsed="false">
      <c r="A22" s="3" t="s">
        <v>52</v>
      </c>
      <c r="B22" s="12" t="n">
        <v>20</v>
      </c>
      <c r="C22" s="3" t="s">
        <v>21</v>
      </c>
      <c r="D22" s="3" t="s">
        <v>51</v>
      </c>
    </row>
    <row r="23" customFormat="false" ht="15" hidden="false" customHeight="false" outlineLevel="0" collapsed="false">
      <c r="A23" s="3" t="s">
        <v>53</v>
      </c>
      <c r="B23" s="9" t="n">
        <v>0.2</v>
      </c>
      <c r="C23" s="3" t="s">
        <v>24</v>
      </c>
      <c r="D23" s="3" t="s">
        <v>45</v>
      </c>
    </row>
    <row r="24" customFormat="false" ht="15" hidden="false" customHeight="false" outlineLevel="0" collapsed="false">
      <c r="A24" s="3" t="s">
        <v>54</v>
      </c>
      <c r="B24" s="11" t="n">
        <v>1600</v>
      </c>
      <c r="C24" s="3" t="s">
        <v>44</v>
      </c>
      <c r="D24" s="3" t="s">
        <v>45</v>
      </c>
    </row>
    <row r="25" customFormat="false" ht="15" hidden="false" customHeight="false" outlineLevel="0" collapsed="false">
      <c r="A25" s="3" t="s">
        <v>55</v>
      </c>
      <c r="B25" s="11" t="n">
        <v>60</v>
      </c>
      <c r="C25" s="3" t="s">
        <v>44</v>
      </c>
      <c r="D25" s="3" t="s">
        <v>45</v>
      </c>
    </row>
    <row r="26" customFormat="false" ht="15" hidden="false" customHeight="false" outlineLevel="0" collapsed="false">
      <c r="A26" s="3" t="s">
        <v>56</v>
      </c>
      <c r="B26" s="8" t="n">
        <v>2500</v>
      </c>
      <c r="C26" s="3" t="s">
        <v>21</v>
      </c>
      <c r="D26" s="3" t="s">
        <v>45</v>
      </c>
    </row>
    <row r="27" customFormat="false" ht="15" hidden="false" customHeight="false" outlineLevel="0" collapsed="false">
      <c r="A27" s="3" t="s">
        <v>57</v>
      </c>
      <c r="B27" s="8" t="n">
        <v>300</v>
      </c>
      <c r="C27" s="3" t="s">
        <v>21</v>
      </c>
      <c r="D27" s="3" t="s">
        <v>45</v>
      </c>
    </row>
    <row r="28" customFormat="false" ht="15" hidden="false" customHeight="false" outlineLevel="0" collapsed="false">
      <c r="A28" s="3" t="s">
        <v>58</v>
      </c>
      <c r="B28" s="11" t="n">
        <v>26</v>
      </c>
      <c r="C28" s="3" t="s">
        <v>59</v>
      </c>
      <c r="D28" s="3" t="s">
        <v>45</v>
      </c>
    </row>
    <row r="29" customFormat="false" ht="15" hidden="false" customHeight="false" outlineLevel="0" collapsed="false">
      <c r="A29" s="3" t="s">
        <v>60</v>
      </c>
      <c r="B29" s="8" t="n">
        <v>60</v>
      </c>
      <c r="C29" s="3" t="s">
        <v>21</v>
      </c>
      <c r="D29" s="3" t="s">
        <v>39</v>
      </c>
    </row>
    <row r="30" customFormat="false" ht="15" hidden="false" customHeight="false" outlineLevel="0" collapsed="false">
      <c r="A30" s="3" t="s">
        <v>61</v>
      </c>
      <c r="B30" s="8" t="n">
        <v>70</v>
      </c>
      <c r="C30" s="3" t="s">
        <v>21</v>
      </c>
      <c r="D30" s="3" t="s">
        <v>39</v>
      </c>
    </row>
    <row r="31" customFormat="false" ht="15" hidden="false" customHeight="false" outlineLevel="0" collapsed="false">
      <c r="A31" s="3" t="s">
        <v>62</v>
      </c>
      <c r="B31" s="11" t="n">
        <v>300</v>
      </c>
      <c r="C31" s="3" t="s">
        <v>59</v>
      </c>
      <c r="D31" s="3" t="s">
        <v>39</v>
      </c>
    </row>
    <row r="32" customFormat="false" ht="15" hidden="false" customHeight="false" outlineLevel="0" collapsed="false">
      <c r="A32" s="3" t="s">
        <v>63</v>
      </c>
      <c r="B32" s="13" t="n">
        <v>0.1</v>
      </c>
      <c r="C32" s="3" t="s">
        <v>64</v>
      </c>
      <c r="D32" s="3" t="s">
        <v>65</v>
      </c>
    </row>
    <row r="33" customFormat="false" ht="15" hidden="false" customHeight="false" outlineLevel="0" collapsed="false">
      <c r="A33" s="3" t="s">
        <v>66</v>
      </c>
      <c r="B33" s="11" t="n">
        <v>6</v>
      </c>
      <c r="C33" s="3" t="s">
        <v>67</v>
      </c>
      <c r="D33" s="3" t="s">
        <v>39</v>
      </c>
    </row>
    <row r="34" customFormat="false" ht="15" hidden="false" customHeight="false" outlineLevel="0" collapsed="false">
      <c r="A34" s="3" t="s">
        <v>68</v>
      </c>
      <c r="B34" s="9" t="n">
        <v>0.12</v>
      </c>
      <c r="C34" s="3" t="s">
        <v>24</v>
      </c>
      <c r="D34" s="3" t="s">
        <v>69</v>
      </c>
    </row>
    <row r="35" customFormat="false" ht="15" hidden="false" customHeight="false" outlineLevel="0" collapsed="false">
      <c r="A35" s="3" t="s">
        <v>70</v>
      </c>
      <c r="B35" s="10" t="n">
        <v>2.5</v>
      </c>
      <c r="C35" s="3" t="s">
        <v>67</v>
      </c>
      <c r="D35" s="3" t="s">
        <v>39</v>
      </c>
    </row>
    <row r="36" customFormat="false" ht="15" hidden="false" customHeight="false" outlineLevel="0" collapsed="false">
      <c r="A36" s="3" t="s">
        <v>71</v>
      </c>
      <c r="B36" s="11" t="n">
        <v>180</v>
      </c>
      <c r="C36" s="3" t="s">
        <v>72</v>
      </c>
      <c r="D36" s="3" t="s">
        <v>39</v>
      </c>
    </row>
    <row r="37" customFormat="false" ht="15" hidden="false" customHeight="false" outlineLevel="0" collapsed="false">
      <c r="A37" s="3" t="s">
        <v>73</v>
      </c>
      <c r="B37" s="8" t="n">
        <v>90000</v>
      </c>
      <c r="C37" s="3" t="s">
        <v>21</v>
      </c>
      <c r="D37" s="3" t="s">
        <v>45</v>
      </c>
    </row>
    <row r="38" customFormat="false" ht="15" hidden="false" customHeight="false" outlineLevel="0" collapsed="false">
      <c r="A38" s="6" t="s">
        <v>74</v>
      </c>
      <c r="B38" s="7"/>
      <c r="C38" s="7"/>
      <c r="D38" s="7"/>
    </row>
    <row r="39" customFormat="false" ht="15" hidden="false" customHeight="false" outlineLevel="0" collapsed="false">
      <c r="A39" s="3" t="s">
        <v>75</v>
      </c>
      <c r="B39" s="11" t="n">
        <v>95000</v>
      </c>
      <c r="C39" s="3" t="s">
        <v>76</v>
      </c>
      <c r="D39" s="3" t="s">
        <v>77</v>
      </c>
    </row>
    <row r="40" customFormat="false" ht="15" hidden="false" customHeight="false" outlineLevel="0" collapsed="false">
      <c r="A40" s="3" t="s">
        <v>78</v>
      </c>
      <c r="B40" s="9" t="n">
        <v>0.85</v>
      </c>
      <c r="C40" s="3" t="s">
        <v>24</v>
      </c>
      <c r="D40" s="3" t="s">
        <v>79</v>
      </c>
    </row>
    <row r="41" customFormat="false" ht="15" hidden="false" customHeight="false" outlineLevel="0" collapsed="false">
      <c r="A41" s="3" t="s">
        <v>80</v>
      </c>
      <c r="B41" s="11" t="n">
        <v>260</v>
      </c>
      <c r="C41" s="3" t="s">
        <v>81</v>
      </c>
      <c r="D41" s="3" t="s">
        <v>77</v>
      </c>
    </row>
    <row r="42" customFormat="false" ht="15" hidden="false" customHeight="false" outlineLevel="0" collapsed="false">
      <c r="A42" s="3" t="s">
        <v>82</v>
      </c>
      <c r="B42" s="10" t="n">
        <v>1.5</v>
      </c>
      <c r="C42" s="3" t="s">
        <v>67</v>
      </c>
      <c r="D42" s="3" t="s">
        <v>83</v>
      </c>
    </row>
    <row r="43" customFormat="false" ht="15" hidden="false" customHeight="false" outlineLevel="0" collapsed="false">
      <c r="A43" s="3" t="s">
        <v>84</v>
      </c>
      <c r="B43" s="8" t="n">
        <v>150</v>
      </c>
      <c r="C43" s="3" t="s">
        <v>21</v>
      </c>
      <c r="D43" s="3" t="s">
        <v>77</v>
      </c>
    </row>
    <row r="44" customFormat="false" ht="15" hidden="false" customHeight="false" outlineLevel="0" collapsed="false">
      <c r="A44" s="3" t="s">
        <v>85</v>
      </c>
      <c r="B44" s="14" t="n">
        <v>1</v>
      </c>
      <c r="C44" s="3" t="s">
        <v>86</v>
      </c>
      <c r="D44" s="3" t="s">
        <v>87</v>
      </c>
    </row>
    <row r="45" customFormat="false" ht="15" hidden="false" customHeight="false" outlineLevel="0" collapsed="false">
      <c r="A45" s="3" t="s">
        <v>88</v>
      </c>
      <c r="B45" s="12" t="n">
        <v>0.38</v>
      </c>
      <c r="C45" s="3" t="s">
        <v>21</v>
      </c>
      <c r="D45" s="3" t="s">
        <v>89</v>
      </c>
    </row>
    <row r="46" customFormat="false" ht="15" hidden="false" customHeight="false" outlineLevel="0" collapsed="false">
      <c r="A46" s="3" t="s">
        <v>90</v>
      </c>
      <c r="B46" s="12" t="n">
        <v>40</v>
      </c>
      <c r="C46" s="3" t="s">
        <v>21</v>
      </c>
      <c r="D46" s="3" t="s">
        <v>89</v>
      </c>
    </row>
    <row r="47" customFormat="false" ht="15" hidden="false" customHeight="false" outlineLevel="0" collapsed="false">
      <c r="A47" s="3" t="s">
        <v>91</v>
      </c>
      <c r="B47" s="11" t="n">
        <v>50</v>
      </c>
      <c r="C47" s="3" t="s">
        <v>92</v>
      </c>
      <c r="D47" s="3" t="s">
        <v>89</v>
      </c>
    </row>
    <row r="48" customFormat="false" ht="15" hidden="false" customHeight="false" outlineLevel="0" collapsed="false">
      <c r="A48" s="3" t="s">
        <v>93</v>
      </c>
      <c r="B48" s="12" t="n">
        <v>0.65</v>
      </c>
      <c r="C48" s="3" t="s">
        <v>21</v>
      </c>
      <c r="D48" s="3" t="s">
        <v>89</v>
      </c>
    </row>
    <row r="49" customFormat="false" ht="15" hidden="false" customHeight="false" outlineLevel="0" collapsed="false">
      <c r="A49" s="3" t="s">
        <v>94</v>
      </c>
      <c r="B49" s="9" t="n">
        <v>0.58</v>
      </c>
      <c r="C49" s="3" t="s">
        <v>24</v>
      </c>
      <c r="D49" s="3" t="s">
        <v>79</v>
      </c>
    </row>
    <row r="50" customFormat="false" ht="15" hidden="false" customHeight="false" outlineLevel="0" collapsed="false">
      <c r="A50" s="3" t="s">
        <v>95</v>
      </c>
      <c r="B50" s="9" t="n">
        <v>0.02</v>
      </c>
      <c r="C50" s="3" t="s">
        <v>24</v>
      </c>
      <c r="D50" s="3" t="s">
        <v>96</v>
      </c>
    </row>
    <row r="51" customFormat="false" ht="15" hidden="false" customHeight="false" outlineLevel="0" collapsed="false">
      <c r="A51" s="3" t="s">
        <v>97</v>
      </c>
      <c r="B51" s="11" t="n">
        <v>5</v>
      </c>
      <c r="C51" s="3" t="s">
        <v>67</v>
      </c>
      <c r="D51" s="3" t="s">
        <v>96</v>
      </c>
    </row>
    <row r="52" customFormat="false" ht="15" hidden="false" customHeight="false" outlineLevel="0" collapsed="false">
      <c r="A52" s="3" t="s">
        <v>98</v>
      </c>
      <c r="B52" s="8" t="n">
        <v>1500</v>
      </c>
      <c r="C52" s="3" t="s">
        <v>21</v>
      </c>
      <c r="D52" s="3" t="s">
        <v>96</v>
      </c>
    </row>
    <row r="53" customFormat="false" ht="15" hidden="false" customHeight="false" outlineLevel="0" collapsed="false">
      <c r="A53" s="3" t="s">
        <v>73</v>
      </c>
      <c r="B53" s="8" t="n">
        <v>260000</v>
      </c>
      <c r="C53" s="3" t="s">
        <v>21</v>
      </c>
      <c r="D53" s="3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"/>
    <col collapsed="false" customWidth="true" hidden="false" outlineLevel="0" max="5" min="3" style="0" width="15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99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4" t="s">
        <v>100</v>
      </c>
      <c r="B3" s="2"/>
      <c r="C3" s="15" t="n">
        <v>1</v>
      </c>
      <c r="D3" s="2"/>
      <c r="E3" s="2"/>
      <c r="F3" s="2"/>
    </row>
    <row r="4" customFormat="false" ht="15" hidden="false" customHeight="false" outlineLevel="0" collapsed="false">
      <c r="A4" s="5" t="s">
        <v>101</v>
      </c>
      <c r="B4" s="5" t="s">
        <v>17</v>
      </c>
      <c r="C4" s="5" t="s">
        <v>102</v>
      </c>
      <c r="D4" s="5" t="s">
        <v>103</v>
      </c>
      <c r="E4" s="5" t="s">
        <v>104</v>
      </c>
      <c r="F4" s="5" t="s">
        <v>105</v>
      </c>
    </row>
    <row r="5" customFormat="false" ht="15" hidden="false" customHeight="false" outlineLevel="0" collapsed="false">
      <c r="A5" s="2" t="s">
        <v>106</v>
      </c>
      <c r="B5" s="2" t="s">
        <v>24</v>
      </c>
      <c r="C5" s="16" t="n">
        <f aca="false">Inputs!$B$10</f>
        <v>0.1</v>
      </c>
      <c r="D5" s="16" t="n">
        <f aca="false">Inputs!$B$11</f>
        <v>0.3</v>
      </c>
      <c r="E5" s="16" t="n">
        <f aca="false">Inputs!$B$12</f>
        <v>0.6</v>
      </c>
      <c r="F5" s="2"/>
    </row>
    <row r="6" customFormat="false" ht="15" hidden="false" customHeight="false" outlineLevel="0" collapsed="false">
      <c r="A6" s="3" t="s">
        <v>107</v>
      </c>
      <c r="B6" s="3" t="s">
        <v>108</v>
      </c>
      <c r="C6" s="17" t="n">
        <f aca="false">Inputs!$B$14*C5</f>
        <v>12000</v>
      </c>
      <c r="D6" s="17" t="n">
        <f aca="false">Inputs!$B$14*D5</f>
        <v>36000</v>
      </c>
      <c r="E6" s="17" t="n">
        <f aca="false">Inputs!$B$14*E5</f>
        <v>72000</v>
      </c>
      <c r="F6" s="18" t="s">
        <v>109</v>
      </c>
    </row>
    <row r="7" customFormat="false" ht="15" hidden="false" customHeight="false" outlineLevel="0" collapsed="false">
      <c r="A7" s="3" t="s">
        <v>110</v>
      </c>
      <c r="B7" s="3" t="s">
        <v>41</v>
      </c>
      <c r="C7" s="19"/>
      <c r="D7" s="19"/>
      <c r="E7" s="19"/>
      <c r="F7" s="18" t="s">
        <v>111</v>
      </c>
    </row>
    <row r="8" customFormat="false" ht="26.85" hidden="false" customHeight="false" outlineLevel="0" collapsed="false">
      <c r="A8" s="3" t="s">
        <v>112</v>
      </c>
      <c r="B8" s="3" t="s">
        <v>21</v>
      </c>
      <c r="C8" s="20"/>
      <c r="D8" s="20"/>
      <c r="E8" s="20"/>
      <c r="F8" s="18" t="s">
        <v>113</v>
      </c>
    </row>
    <row r="9" customFormat="false" ht="15" hidden="false" customHeight="false" outlineLevel="0" collapsed="false">
      <c r="A9" s="3" t="s">
        <v>114</v>
      </c>
      <c r="B9" s="3" t="s">
        <v>21</v>
      </c>
      <c r="C9" s="20"/>
      <c r="D9" s="20"/>
      <c r="E9" s="20"/>
      <c r="F9" s="18" t="s">
        <v>115</v>
      </c>
    </row>
    <row r="10" customFormat="false" ht="15" hidden="false" customHeight="false" outlineLevel="0" collapsed="false">
      <c r="A10" s="3" t="s">
        <v>116</v>
      </c>
      <c r="B10" s="3" t="s">
        <v>21</v>
      </c>
      <c r="C10" s="21"/>
      <c r="D10" s="21"/>
      <c r="E10" s="21"/>
      <c r="F10" s="18" t="s">
        <v>117</v>
      </c>
    </row>
    <row r="11" customFormat="false" ht="15" hidden="false" customHeight="false" outlineLevel="0" collapsed="false">
      <c r="A11" s="3" t="s">
        <v>118</v>
      </c>
      <c r="B11" s="3" t="s">
        <v>21</v>
      </c>
      <c r="C11" s="21"/>
      <c r="D11" s="21"/>
      <c r="E11" s="21"/>
      <c r="F11" s="18" t="s">
        <v>119</v>
      </c>
    </row>
    <row r="12" customFormat="false" ht="15" hidden="false" customHeight="false" outlineLevel="0" collapsed="false">
      <c r="A12" s="3" t="s">
        <v>120</v>
      </c>
      <c r="B12" s="3" t="s">
        <v>21</v>
      </c>
      <c r="C12" s="21"/>
      <c r="D12" s="21"/>
      <c r="E12" s="21"/>
      <c r="F12" s="18" t="s">
        <v>121</v>
      </c>
    </row>
    <row r="13" customFormat="false" ht="26.85" hidden="false" customHeight="false" outlineLevel="0" collapsed="false">
      <c r="A13" s="3" t="s">
        <v>122</v>
      </c>
      <c r="B13" s="3" t="s">
        <v>59</v>
      </c>
      <c r="C13" s="19"/>
      <c r="D13" s="19"/>
      <c r="E13" s="19"/>
      <c r="F13" s="18" t="s">
        <v>123</v>
      </c>
    </row>
    <row r="14" customFormat="false" ht="26.85" hidden="false" customHeight="false" outlineLevel="0" collapsed="false">
      <c r="A14" s="3" t="s">
        <v>124</v>
      </c>
      <c r="B14" s="3" t="s">
        <v>21</v>
      </c>
      <c r="C14" s="21"/>
      <c r="D14" s="21"/>
      <c r="E14" s="21"/>
      <c r="F14" s="18" t="s">
        <v>125</v>
      </c>
    </row>
    <row r="15" customFormat="false" ht="15" hidden="false" customHeight="false" outlineLevel="0" collapsed="false">
      <c r="A15" s="4" t="s">
        <v>126</v>
      </c>
      <c r="B15" s="3" t="s">
        <v>21</v>
      </c>
      <c r="C15" s="21"/>
      <c r="D15" s="21"/>
      <c r="E15" s="21"/>
      <c r="F15" s="18" t="s">
        <v>127</v>
      </c>
    </row>
    <row r="16" customFormat="false" ht="15" hidden="false" customHeight="false" outlineLevel="0" collapsed="false">
      <c r="A16" s="3" t="s">
        <v>128</v>
      </c>
      <c r="B16" s="3" t="s">
        <v>21</v>
      </c>
      <c r="C16" s="21"/>
      <c r="D16" s="21"/>
      <c r="E16" s="21"/>
      <c r="F16" s="18" t="s">
        <v>129</v>
      </c>
    </row>
    <row r="17" customFormat="false" ht="15" hidden="false" customHeight="false" outlineLevel="0" collapsed="false">
      <c r="A17" s="3" t="s">
        <v>130</v>
      </c>
      <c r="B17" s="3" t="s">
        <v>131</v>
      </c>
      <c r="C17" s="22"/>
      <c r="D17" s="22"/>
      <c r="E17" s="22"/>
      <c r="F17" s="18" t="s">
        <v>132</v>
      </c>
    </row>
    <row r="18" customFormat="false" ht="15" hidden="false" customHeight="false" outlineLevel="0" collapsed="false">
      <c r="A18" s="3" t="s">
        <v>133</v>
      </c>
      <c r="B18" s="3" t="s">
        <v>134</v>
      </c>
      <c r="C18" s="23"/>
      <c r="D18" s="23"/>
      <c r="E18" s="23"/>
      <c r="F18" s="18" t="s">
        <v>135</v>
      </c>
    </row>
    <row r="19" customFormat="false" ht="15" hidden="false" customHeight="false" outlineLevel="0" collapsed="false">
      <c r="A19" s="3" t="s">
        <v>136</v>
      </c>
      <c r="B19" s="3" t="s">
        <v>72</v>
      </c>
      <c r="C19" s="19"/>
      <c r="D19" s="19"/>
      <c r="E19" s="19"/>
      <c r="F19" s="18" t="s">
        <v>137</v>
      </c>
    </row>
    <row r="20" customFormat="false" ht="15" hidden="false" customHeight="false" outlineLevel="0" collapsed="false">
      <c r="A20" s="3" t="s">
        <v>138</v>
      </c>
      <c r="B20" s="3" t="s">
        <v>21</v>
      </c>
      <c r="C20" s="21"/>
      <c r="D20" s="21"/>
      <c r="E20" s="21"/>
      <c r="F20" s="18" t="s">
        <v>139</v>
      </c>
    </row>
    <row r="21" customFormat="false" ht="15" hidden="false" customHeight="false" outlineLevel="0" collapsed="false">
      <c r="A21" s="3" t="s">
        <v>140</v>
      </c>
      <c r="B21" s="3" t="s">
        <v>21</v>
      </c>
      <c r="C21" s="24"/>
      <c r="D21" s="24"/>
      <c r="E21" s="24"/>
      <c r="F21" s="18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"/>
    <col collapsed="false" customWidth="true" hidden="false" outlineLevel="0" max="5" min="3" style="0" width="15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142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4" t="s">
        <v>100</v>
      </c>
      <c r="B3" s="2"/>
      <c r="C3" s="15" t="n">
        <v>1</v>
      </c>
      <c r="D3" s="2"/>
      <c r="E3" s="2"/>
      <c r="F3" s="2"/>
    </row>
    <row r="4" customFormat="false" ht="15" hidden="false" customHeight="false" outlineLevel="0" collapsed="false">
      <c r="A4" s="5" t="s">
        <v>101</v>
      </c>
      <c r="B4" s="5" t="s">
        <v>17</v>
      </c>
      <c r="C4" s="5" t="s">
        <v>102</v>
      </c>
      <c r="D4" s="5" t="s">
        <v>103</v>
      </c>
      <c r="E4" s="5" t="s">
        <v>104</v>
      </c>
      <c r="F4" s="5" t="s">
        <v>105</v>
      </c>
    </row>
    <row r="5" customFormat="false" ht="15" hidden="false" customHeight="false" outlineLevel="0" collapsed="false">
      <c r="A5" s="2" t="s">
        <v>106</v>
      </c>
      <c r="B5" s="2" t="s">
        <v>24</v>
      </c>
      <c r="C5" s="16" t="n">
        <f aca="false">Inputs!$B$10</f>
        <v>0.1</v>
      </c>
      <c r="D5" s="16" t="n">
        <f aca="false">Inputs!$B$11</f>
        <v>0.3</v>
      </c>
      <c r="E5" s="16" t="n">
        <f aca="false">Inputs!$B$12</f>
        <v>0.6</v>
      </c>
      <c r="F5" s="2"/>
    </row>
    <row r="6" customFormat="false" ht="15" hidden="false" customHeight="false" outlineLevel="0" collapsed="false">
      <c r="A6" s="3" t="s">
        <v>143</v>
      </c>
      <c r="B6" s="3" t="s">
        <v>81</v>
      </c>
      <c r="C6" s="17" t="n">
        <f aca="false">ROUNDUP(Inputs!$B$41*C5,0)</f>
        <v>26</v>
      </c>
      <c r="D6" s="17" t="n">
        <f aca="false">ROUNDUP(Inputs!$B$41*D5,0)</f>
        <v>78</v>
      </c>
      <c r="E6" s="17" t="n">
        <f aca="false">ROUNDUP(Inputs!$B$41*E5,0)</f>
        <v>156</v>
      </c>
      <c r="F6" s="18" t="s">
        <v>144</v>
      </c>
    </row>
    <row r="7" customFormat="false" ht="15" hidden="false" customHeight="false" outlineLevel="0" collapsed="false">
      <c r="A7" s="3" t="s">
        <v>145</v>
      </c>
      <c r="B7" s="3" t="s">
        <v>146</v>
      </c>
      <c r="C7" s="19"/>
      <c r="D7" s="19"/>
      <c r="E7" s="19"/>
      <c r="F7" s="18" t="s">
        <v>147</v>
      </c>
    </row>
    <row r="8" customFormat="false" ht="26.85" hidden="false" customHeight="false" outlineLevel="0" collapsed="false">
      <c r="A8" s="3" t="s">
        <v>148</v>
      </c>
      <c r="B8" s="3" t="s">
        <v>21</v>
      </c>
      <c r="C8" s="21"/>
      <c r="D8" s="21"/>
      <c r="E8" s="21"/>
      <c r="F8" s="18" t="s">
        <v>149</v>
      </c>
    </row>
    <row r="9" customFormat="false" ht="15" hidden="false" customHeight="false" outlineLevel="0" collapsed="false">
      <c r="A9" s="3" t="s">
        <v>150</v>
      </c>
      <c r="B9" s="3" t="s">
        <v>21</v>
      </c>
      <c r="C9" s="21"/>
      <c r="D9" s="21"/>
      <c r="E9" s="21"/>
      <c r="F9" s="18" t="s">
        <v>151</v>
      </c>
    </row>
    <row r="10" customFormat="false" ht="15" hidden="false" customHeight="false" outlineLevel="0" collapsed="false">
      <c r="A10" s="3" t="s">
        <v>120</v>
      </c>
      <c r="B10" s="3" t="s">
        <v>21</v>
      </c>
      <c r="C10" s="21"/>
      <c r="D10" s="21"/>
      <c r="E10" s="21"/>
      <c r="F10" s="18" t="s">
        <v>152</v>
      </c>
    </row>
    <row r="11" customFormat="false" ht="15" hidden="false" customHeight="false" outlineLevel="0" collapsed="false">
      <c r="A11" s="3" t="s">
        <v>153</v>
      </c>
      <c r="B11" s="3" t="s">
        <v>21</v>
      </c>
      <c r="C11" s="20"/>
      <c r="D11" s="20"/>
      <c r="E11" s="20"/>
      <c r="F11" s="18" t="s">
        <v>154</v>
      </c>
    </row>
    <row r="12" customFormat="false" ht="15" hidden="false" customHeight="false" outlineLevel="0" collapsed="false">
      <c r="A12" s="3" t="s">
        <v>155</v>
      </c>
      <c r="B12" s="3" t="s">
        <v>59</v>
      </c>
      <c r="C12" s="19"/>
      <c r="D12" s="19"/>
      <c r="E12" s="19"/>
      <c r="F12" s="18" t="s">
        <v>156</v>
      </c>
    </row>
    <row r="13" customFormat="false" ht="15" hidden="false" customHeight="false" outlineLevel="0" collapsed="false">
      <c r="A13" s="3" t="s">
        <v>124</v>
      </c>
      <c r="B13" s="3" t="s">
        <v>21</v>
      </c>
      <c r="C13" s="21"/>
      <c r="D13" s="21"/>
      <c r="E13" s="21"/>
      <c r="F13" s="18" t="s">
        <v>157</v>
      </c>
    </row>
    <row r="14" customFormat="false" ht="15" hidden="false" customHeight="false" outlineLevel="0" collapsed="false">
      <c r="A14" s="4" t="s">
        <v>126</v>
      </c>
      <c r="B14" s="3" t="s">
        <v>21</v>
      </c>
      <c r="C14" s="21"/>
      <c r="D14" s="21"/>
      <c r="E14" s="21"/>
      <c r="F14" s="18" t="s">
        <v>127</v>
      </c>
    </row>
    <row r="15" customFormat="false" ht="15" hidden="false" customHeight="false" outlineLevel="0" collapsed="false">
      <c r="A15" s="3" t="s">
        <v>128</v>
      </c>
      <c r="B15" s="3" t="s">
        <v>21</v>
      </c>
      <c r="C15" s="21"/>
      <c r="D15" s="21"/>
      <c r="E15" s="21"/>
      <c r="F15" s="18" t="s">
        <v>129</v>
      </c>
    </row>
    <row r="16" customFormat="false" ht="15" hidden="false" customHeight="false" outlineLevel="0" collapsed="false">
      <c r="A16" s="3" t="s">
        <v>130</v>
      </c>
      <c r="B16" s="3" t="s">
        <v>131</v>
      </c>
      <c r="C16" s="22"/>
      <c r="D16" s="22"/>
      <c r="E16" s="22"/>
      <c r="F16" s="18" t="s">
        <v>132</v>
      </c>
    </row>
    <row r="17" customFormat="false" ht="15" hidden="false" customHeight="false" outlineLevel="0" collapsed="false">
      <c r="A17" s="3" t="s">
        <v>133</v>
      </c>
      <c r="B17" s="3" t="s">
        <v>134</v>
      </c>
      <c r="C17" s="23"/>
      <c r="D17" s="23"/>
      <c r="E17" s="23"/>
      <c r="F17" s="18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7.35" hidden="false" customHeight="false" outlineLevel="0" collapsed="false">
      <c r="A1" s="1" t="s">
        <v>158</v>
      </c>
      <c r="B1" s="2"/>
      <c r="C1" s="2"/>
      <c r="D1" s="2"/>
    </row>
    <row r="2" customFormat="false" ht="15" hidden="false" customHeight="false" outlineLevel="0" collapsed="false">
      <c r="A2" s="3" t="s">
        <v>159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160</v>
      </c>
      <c r="B4" s="2"/>
      <c r="C4" s="2"/>
      <c r="D4" s="2"/>
    </row>
    <row r="5" customFormat="false" ht="15" hidden="false" customHeight="false" outlineLevel="0" collapsed="false">
      <c r="A5" s="5" t="s">
        <v>106</v>
      </c>
      <c r="B5" s="5" t="s">
        <v>161</v>
      </c>
      <c r="C5" s="5" t="s">
        <v>162</v>
      </c>
      <c r="D5" s="5" t="s">
        <v>163</v>
      </c>
    </row>
    <row r="6" customFormat="false" ht="15" hidden="false" customHeight="false" outlineLevel="0" collapsed="false">
      <c r="A6" s="3" t="s">
        <v>164</v>
      </c>
      <c r="B6" s="25" t="n">
        <f aca="false">Inputs!$B$8</f>
        <v>0.5</v>
      </c>
      <c r="C6" s="10" t="n">
        <v>1</v>
      </c>
      <c r="D6" s="25" t="n">
        <f aca="false">Inputs!$B$9</f>
        <v>1.5</v>
      </c>
    </row>
    <row r="7" customFormat="false" ht="15" hidden="false" customHeight="false" outlineLevel="0" collapsed="false">
      <c r="A7" s="16" t="n">
        <f aca="false">Inputs!$B$10</f>
        <v>0.1</v>
      </c>
      <c r="B7" s="21"/>
      <c r="C7" s="21"/>
      <c r="D7" s="21"/>
    </row>
    <row r="8" customFormat="false" ht="15" hidden="false" customHeight="false" outlineLevel="0" collapsed="false">
      <c r="A8" s="16" t="n">
        <f aca="false">Inputs!$B$11</f>
        <v>0.3</v>
      </c>
      <c r="B8" s="21"/>
      <c r="C8" s="21"/>
      <c r="D8" s="21"/>
    </row>
    <row r="9" customFormat="false" ht="15" hidden="false" customHeight="false" outlineLevel="0" collapsed="false">
      <c r="A9" s="16" t="n">
        <f aca="false">Inputs!$B$12</f>
        <v>0.6</v>
      </c>
      <c r="B9" s="21"/>
      <c r="C9" s="21"/>
      <c r="D9" s="21"/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15" hidden="false" customHeight="false" outlineLevel="0" collapsed="false">
      <c r="A11" s="2"/>
      <c r="B11" s="2"/>
      <c r="C11" s="2"/>
      <c r="D11" s="2"/>
    </row>
    <row r="12" customFormat="false" ht="15" hidden="false" customHeight="false" outlineLevel="0" collapsed="false">
      <c r="A12" s="4" t="s">
        <v>165</v>
      </c>
      <c r="B12" s="2"/>
      <c r="C12" s="2"/>
      <c r="D12" s="2"/>
    </row>
    <row r="13" customFormat="false" ht="15" hidden="false" customHeight="false" outlineLevel="0" collapsed="false">
      <c r="A13" s="5" t="s">
        <v>106</v>
      </c>
      <c r="B13" s="5" t="s">
        <v>161</v>
      </c>
      <c r="C13" s="5" t="s">
        <v>162</v>
      </c>
      <c r="D13" s="5" t="s">
        <v>163</v>
      </c>
    </row>
    <row r="14" customFormat="false" ht="15" hidden="false" customHeight="false" outlineLevel="0" collapsed="false">
      <c r="A14" s="3" t="s">
        <v>164</v>
      </c>
      <c r="B14" s="25" t="n">
        <f aca="false">Inputs!$B$8</f>
        <v>0.5</v>
      </c>
      <c r="C14" s="10" t="n">
        <v>1</v>
      </c>
      <c r="D14" s="25" t="n">
        <f aca="false">Inputs!$B$9</f>
        <v>1.5</v>
      </c>
    </row>
    <row r="15" customFormat="false" ht="15" hidden="false" customHeight="false" outlineLevel="0" collapsed="false">
      <c r="A15" s="16" t="n">
        <f aca="false">Inputs!$B$10</f>
        <v>0.1</v>
      </c>
      <c r="B15" s="21"/>
      <c r="C15" s="21"/>
      <c r="D15" s="21"/>
    </row>
    <row r="16" customFormat="false" ht="15" hidden="false" customHeight="false" outlineLevel="0" collapsed="false">
      <c r="A16" s="16" t="n">
        <f aca="false">Inputs!$B$11</f>
        <v>0.3</v>
      </c>
      <c r="B16" s="21"/>
      <c r="C16" s="21"/>
      <c r="D16" s="21"/>
    </row>
    <row r="17" customFormat="false" ht="15" hidden="false" customHeight="false" outlineLevel="0" collapsed="false">
      <c r="A17" s="16" t="n">
        <f aca="false">Inputs!$B$12</f>
        <v>0.6</v>
      </c>
      <c r="B17" s="21"/>
      <c r="C17" s="21"/>
      <c r="D17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166</v>
      </c>
      <c r="B1" s="2"/>
      <c r="C1" s="2"/>
    </row>
    <row r="2" customFormat="false" ht="15" hidden="false" customHeight="false" outlineLevel="0" collapsed="false">
      <c r="A2" s="2" t="s">
        <v>167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5" t="s">
        <v>168</v>
      </c>
      <c r="B4" s="5" t="s">
        <v>16</v>
      </c>
      <c r="C4" s="5" t="s">
        <v>169</v>
      </c>
    </row>
    <row r="5" customFormat="false" ht="15" hidden="false" customHeight="false" outlineLevel="0" collapsed="false">
      <c r="A5" s="3" t="s">
        <v>170</v>
      </c>
      <c r="B5" s="14" t="n">
        <v>0</v>
      </c>
      <c r="C5" s="2"/>
    </row>
    <row r="6" customFormat="false" ht="15" hidden="false" customHeight="false" outlineLevel="0" collapsed="false">
      <c r="A6" s="3" t="s">
        <v>171</v>
      </c>
      <c r="B6" s="9" t="n">
        <v>0.9</v>
      </c>
      <c r="C6" s="2"/>
    </row>
    <row r="7" customFormat="false" ht="15" hidden="false" customHeight="false" outlineLevel="0" collapsed="false">
      <c r="A7" s="3" t="s">
        <v>172</v>
      </c>
      <c r="B7" s="9" t="n">
        <v>0.1</v>
      </c>
      <c r="C7" s="2"/>
    </row>
    <row r="8" customFormat="false" ht="15" hidden="false" customHeight="false" outlineLevel="0" collapsed="false">
      <c r="A8" s="3" t="s">
        <v>173</v>
      </c>
      <c r="B8" s="9" t="n">
        <v>1.25</v>
      </c>
      <c r="C8" s="2"/>
    </row>
    <row r="9" customFormat="false" ht="15" hidden="false" customHeight="false" outlineLevel="0" collapsed="false">
      <c r="A9" s="3" t="s">
        <v>174</v>
      </c>
      <c r="B9" s="14" t="n">
        <v>0</v>
      </c>
      <c r="C9" s="2"/>
    </row>
    <row r="10" customFormat="false" ht="15" hidden="false" customHeight="false" outlineLevel="0" collapsed="false">
      <c r="A10" s="3" t="s">
        <v>175</v>
      </c>
      <c r="B10" s="14" t="n">
        <v>0</v>
      </c>
      <c r="C10" s="2"/>
    </row>
    <row r="11" customFormat="false" ht="15" hidden="false" customHeight="false" outlineLevel="0" collapsed="false">
      <c r="A11" s="3" t="s">
        <v>176</v>
      </c>
      <c r="B11" s="11" t="n">
        <v>180</v>
      </c>
      <c r="C11" s="2"/>
    </row>
    <row r="12" customFormat="false" ht="15" hidden="false" customHeight="false" outlineLevel="0" collapsed="false">
      <c r="A12" s="3" t="s">
        <v>177</v>
      </c>
      <c r="B12" s="14" t="n">
        <v>0</v>
      </c>
      <c r="C12" s="2"/>
    </row>
    <row r="13" customFormat="false" ht="15" hidden="false" customHeight="false" outlineLevel="0" collapsed="false">
      <c r="A13" s="3" t="s">
        <v>178</v>
      </c>
      <c r="B13" s="9" t="n">
        <v>0.5</v>
      </c>
      <c r="C13" s="2"/>
    </row>
    <row r="14" customFormat="false" ht="15" hidden="false" customHeight="false" outlineLevel="0" collapsed="false">
      <c r="A14" s="3" t="s">
        <v>179</v>
      </c>
      <c r="B14" s="9" t="n">
        <v>0.2</v>
      </c>
      <c r="C14" s="2"/>
    </row>
    <row r="15" customFormat="false" ht="15" hidden="false" customHeight="false" outlineLevel="0" collapsed="false">
      <c r="A15" s="3" t="s">
        <v>180</v>
      </c>
      <c r="B15" s="11" t="n">
        <v>300</v>
      </c>
      <c r="C15" s="2"/>
    </row>
    <row r="16" customFormat="false" ht="15" hidden="false" customHeight="false" outlineLevel="0" collapsed="false">
      <c r="A16" s="3" t="s">
        <v>181</v>
      </c>
      <c r="B16" s="12" t="n">
        <v>0.8</v>
      </c>
      <c r="C16" s="2"/>
    </row>
    <row r="17" customFormat="false" ht="15" hidden="false" customHeight="false" outlineLevel="0" collapsed="false">
      <c r="A17" s="3" t="s">
        <v>182</v>
      </c>
      <c r="B17" s="14" t="n">
        <v>0</v>
      </c>
      <c r="C17" s="2"/>
    </row>
    <row r="18" customFormat="false" ht="15" hidden="false" customHeight="false" outlineLevel="0" collapsed="false">
      <c r="A18" s="2"/>
      <c r="B18" s="2"/>
      <c r="C18" s="2"/>
    </row>
    <row r="19" customFormat="false" ht="15" hidden="false" customHeight="false" outlineLevel="0" collapsed="false">
      <c r="A19" s="5" t="s">
        <v>183</v>
      </c>
      <c r="B19" s="5" t="s">
        <v>16</v>
      </c>
      <c r="C19" s="5" t="s">
        <v>184</v>
      </c>
    </row>
    <row r="20" customFormat="false" ht="26.85" hidden="false" customHeight="false" outlineLevel="0" collapsed="false">
      <c r="A20" s="3" t="s">
        <v>185</v>
      </c>
      <c r="B20" s="20"/>
      <c r="C20" s="18" t="s">
        <v>186</v>
      </c>
    </row>
    <row r="21" customFormat="false" ht="15" hidden="false" customHeight="false" outlineLevel="0" collapsed="false">
      <c r="A21" s="3" t="s">
        <v>187</v>
      </c>
      <c r="B21" s="20"/>
      <c r="C21" s="18" t="s">
        <v>188</v>
      </c>
    </row>
    <row r="22" customFormat="false" ht="15" hidden="false" customHeight="false" outlineLevel="0" collapsed="false">
      <c r="A22" s="3" t="s">
        <v>189</v>
      </c>
      <c r="B22" s="20"/>
      <c r="C22" s="18" t="s">
        <v>190</v>
      </c>
    </row>
    <row r="23" customFormat="false" ht="15" hidden="false" customHeight="false" outlineLevel="0" collapsed="false">
      <c r="A23" s="3" t="s">
        <v>191</v>
      </c>
      <c r="B23" s="21"/>
      <c r="C23" s="18" t="s">
        <v>192</v>
      </c>
    </row>
    <row r="24" customFormat="false" ht="15" hidden="false" customHeight="false" outlineLevel="0" collapsed="false">
      <c r="A24" s="3" t="s">
        <v>193</v>
      </c>
      <c r="B24" s="21"/>
      <c r="C24" s="18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195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 t="s">
        <v>196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6.85" hidden="false" customHeight="false" outlineLevel="0" collapsed="false">
      <c r="A4" s="5" t="s">
        <v>197</v>
      </c>
      <c r="B4" s="5" t="s">
        <v>198</v>
      </c>
      <c r="C4" s="5" t="s">
        <v>199</v>
      </c>
      <c r="D4" s="5" t="s">
        <v>200</v>
      </c>
      <c r="E4" s="5" t="s">
        <v>201</v>
      </c>
      <c r="F4" s="5" t="s">
        <v>202</v>
      </c>
      <c r="G4" s="5" t="s">
        <v>203</v>
      </c>
      <c r="H4" s="5" t="s">
        <v>204</v>
      </c>
    </row>
    <row r="5" customFormat="false" ht="15" hidden="false" customHeight="false" outlineLevel="0" collapsed="false">
      <c r="A5" s="3" t="s">
        <v>205</v>
      </c>
      <c r="B5" s="3" t="s">
        <v>206</v>
      </c>
      <c r="C5" s="26" t="n">
        <v>0.5</v>
      </c>
      <c r="D5" s="27"/>
      <c r="E5" s="26" t="n">
        <v>1.5</v>
      </c>
      <c r="F5" s="27"/>
      <c r="G5" s="28" t="str">
        <f aca="false">IF(AND(ISNUMBER(D5),ISNUMBER(F5)),ABS(F5-D5),"")</f>
        <v/>
      </c>
      <c r="H5" s="2" t="str">
        <f aca="false">IF(AND(ISNUMBER(D5),ISNUMBER(F5)),IF(D5*F5&lt;0,"Yes","No"),"")</f>
        <v/>
      </c>
    </row>
    <row r="6" customFormat="false" ht="15" hidden="false" customHeight="false" outlineLevel="0" collapsed="false">
      <c r="A6" s="3" t="s">
        <v>205</v>
      </c>
      <c r="B6" s="3" t="s">
        <v>207</v>
      </c>
      <c r="C6" s="26" t="n">
        <v>0.16</v>
      </c>
      <c r="D6" s="27"/>
      <c r="E6" s="26" t="n">
        <v>0.08</v>
      </c>
      <c r="F6" s="27"/>
      <c r="G6" s="28" t="str">
        <f aca="false">IF(AND(ISNUMBER(D6),ISNUMBER(F6)),ABS(F6-D6),"")</f>
        <v/>
      </c>
      <c r="H6" s="2" t="str">
        <f aca="false">IF(AND(ISNUMBER(D6),ISNUMBER(F6)),IF(D6*F6&lt;0,"Yes","No"),"")</f>
        <v/>
      </c>
    </row>
    <row r="7" customFormat="false" ht="15" hidden="false" customHeight="false" outlineLevel="0" collapsed="false">
      <c r="A7" s="3" t="s">
        <v>205</v>
      </c>
      <c r="B7" s="3" t="s">
        <v>208</v>
      </c>
      <c r="C7" s="26" t="n">
        <v>0.07</v>
      </c>
      <c r="D7" s="27"/>
      <c r="E7" s="26" t="n">
        <v>0.13</v>
      </c>
      <c r="F7" s="27"/>
      <c r="G7" s="28" t="str">
        <f aca="false">IF(AND(ISNUMBER(D7),ISNUMBER(F7)),ABS(F7-D7),"")</f>
        <v/>
      </c>
      <c r="H7" s="2" t="str">
        <f aca="false">IF(AND(ISNUMBER(D7),ISNUMBER(F7)),IF(D7*F7&lt;0,"Yes","No"),"")</f>
        <v/>
      </c>
    </row>
    <row r="8" customFormat="false" ht="15" hidden="false" customHeight="false" outlineLevel="0" collapsed="false">
      <c r="A8" s="3" t="s">
        <v>209</v>
      </c>
      <c r="B8" s="3" t="s">
        <v>210</v>
      </c>
      <c r="C8" s="26" t="n">
        <v>1</v>
      </c>
      <c r="D8" s="27"/>
      <c r="E8" s="26" t="n">
        <v>2</v>
      </c>
      <c r="F8" s="27"/>
      <c r="G8" s="28" t="str">
        <f aca="false">IF(AND(ISNUMBER(D8),ISNUMBER(F8)),ABS(F8-D8),"")</f>
        <v/>
      </c>
      <c r="H8" s="2" t="str">
        <f aca="false">IF(AND(ISNUMBER(D8),ISNUMBER(F8)),IF(D8*F8&lt;0,"Yes","No"),"")</f>
        <v/>
      </c>
    </row>
    <row r="9" customFormat="false" ht="15" hidden="false" customHeight="false" outlineLevel="0" collapsed="false">
      <c r="A9" s="3" t="s">
        <v>209</v>
      </c>
      <c r="B9" s="3" t="s">
        <v>211</v>
      </c>
      <c r="C9" s="26" t="n">
        <v>0.1</v>
      </c>
      <c r="D9" s="27"/>
      <c r="E9" s="26" t="n">
        <v>0.5</v>
      </c>
      <c r="F9" s="27"/>
      <c r="G9" s="28" t="str">
        <f aca="false">IF(AND(ISNUMBER(D9),ISNUMBER(F9)),ABS(F9-D9),"")</f>
        <v/>
      </c>
      <c r="H9" s="2" t="str">
        <f aca="false">IF(AND(ISNUMBER(D9),ISNUMBER(F9)),IF(D9*F9&lt;0,"Yes","No"),"")</f>
        <v/>
      </c>
    </row>
    <row r="10" customFormat="false" ht="15" hidden="false" customHeight="false" outlineLevel="0" collapsed="false">
      <c r="A10" s="3" t="s">
        <v>209</v>
      </c>
      <c r="B10" s="3" t="s">
        <v>212</v>
      </c>
      <c r="C10" s="26" t="n">
        <v>0.5</v>
      </c>
      <c r="D10" s="27"/>
      <c r="E10" s="26" t="n">
        <v>1.5</v>
      </c>
      <c r="F10" s="27"/>
      <c r="G10" s="28" t="str">
        <f aca="false">IF(AND(ISNUMBER(D10),ISNUMBER(F10)),ABS(F10-D10),"")</f>
        <v/>
      </c>
      <c r="H10" s="2" t="str">
        <f aca="false">IF(AND(ISNUMBER(D10),ISNUMBER(F10)),IF(D10*F10&lt;0,"Yes","No"),"")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213</v>
      </c>
      <c r="B1" s="2"/>
      <c r="C1" s="2"/>
      <c r="D1" s="2"/>
      <c r="E1" s="2"/>
    </row>
    <row r="2" customFormat="false" ht="15" hidden="false" customHeight="false" outlineLevel="0" collapsed="false">
      <c r="A2" s="2" t="s">
        <v>214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5" t="s">
        <v>215</v>
      </c>
      <c r="B4" s="5" t="s">
        <v>216</v>
      </c>
      <c r="C4" s="5" t="s">
        <v>217</v>
      </c>
      <c r="D4" s="5" t="s">
        <v>218</v>
      </c>
      <c r="E4" s="5" t="s">
        <v>219</v>
      </c>
    </row>
    <row r="5" customFormat="false" ht="15" hidden="false" customHeight="false" outlineLevel="0" collapsed="false">
      <c r="A5" s="3" t="s">
        <v>220</v>
      </c>
      <c r="B5" s="29" t="n">
        <f aca="false">'Model A'!D8+'Model A'!D9</f>
        <v>0</v>
      </c>
      <c r="C5" s="30" t="n">
        <v>0.01956</v>
      </c>
      <c r="D5" s="31" t="n">
        <f aca="false">IF(ISNUMBER(B5),B5-C5,"")</f>
        <v>-0.01956</v>
      </c>
      <c r="E5" s="2" t="str">
        <f aca="false">IF(NOT(ISNUMBER(B5)),"Not yet",IF(B5=0,"Not yet",IF(ABS(B5-C5)&lt;=ABS(C5)*0.01,"OK","Check")))</f>
        <v>Not yet</v>
      </c>
    </row>
    <row r="6" customFormat="false" ht="15" hidden="false" customHeight="false" outlineLevel="0" collapsed="false">
      <c r="A6" s="3" t="s">
        <v>221</v>
      </c>
      <c r="B6" s="32" t="n">
        <f aca="false">'Model A'!D12</f>
        <v>0</v>
      </c>
      <c r="C6" s="8" t="n">
        <v>5345.824</v>
      </c>
      <c r="D6" s="28" t="str">
        <f aca="false">IF(ISNUMBER(B6),B6-C6,"")</f>
        <v/>
      </c>
      <c r="E6" s="2" t="str">
        <f aca="false">IF(NOT(ISNUMBER(B6)),"Not yet",IF(B6=0,"Not yet",IF(ABS(B6-C6)&lt;=ABS(C6)*0.01,"OK","Check")))</f>
        <v>Not yet</v>
      </c>
    </row>
    <row r="7" customFormat="false" ht="15" hidden="false" customHeight="false" outlineLevel="0" collapsed="false">
      <c r="A7" s="3" t="s">
        <v>222</v>
      </c>
      <c r="B7" s="33" t="n">
        <f aca="false">'Model A'!D13</f>
        <v>0</v>
      </c>
      <c r="C7" s="11" t="n">
        <v>108</v>
      </c>
      <c r="D7" s="34" t="str">
        <f aca="false">IF(ISNUMBER(B7),B7-C7,"")</f>
        <v/>
      </c>
      <c r="E7" s="2" t="str">
        <f aca="false">IF(NOT(ISNUMBER(B7)),"Not yet",IF(B7=0,"Not yet",IF(ABS(B7-C7)&lt;=ABS(C7)*0.01,"OK","Check")))</f>
        <v>Not yet</v>
      </c>
    </row>
    <row r="8" customFormat="false" ht="15" hidden="false" customHeight="false" outlineLevel="0" collapsed="false">
      <c r="A8" s="3" t="s">
        <v>223</v>
      </c>
      <c r="B8" s="32" t="n">
        <f aca="false">'Model A'!D14</f>
        <v>0</v>
      </c>
      <c r="C8" s="8" t="n">
        <v>7560</v>
      </c>
      <c r="D8" s="28" t="str">
        <f aca="false">IF(ISNUMBER(B8),B8-C8,"")</f>
        <v/>
      </c>
      <c r="E8" s="2" t="str">
        <f aca="false">IF(NOT(ISNUMBER(B8)),"Not yet",IF(B8=0,"Not yet",IF(ABS(B8-C8)&lt;=ABS(C8)*0.01,"OK","Check")))</f>
        <v>Not yet</v>
      </c>
    </row>
    <row r="9" customFormat="false" ht="15" hidden="false" customHeight="false" outlineLevel="0" collapsed="false">
      <c r="A9" s="3" t="s">
        <v>224</v>
      </c>
      <c r="B9" s="32" t="n">
        <f aca="false">'Model A'!D15</f>
        <v>0</v>
      </c>
      <c r="C9" s="8" t="n">
        <v>2214.176</v>
      </c>
      <c r="D9" s="28" t="str">
        <f aca="false">IF(ISNUMBER(B9),B9-C9,"")</f>
        <v/>
      </c>
      <c r="E9" s="2" t="str">
        <f aca="false">IF(NOT(ISNUMBER(B9)),"Not yet",IF(B9=0,"Not yet",IF(ABS(B9-C9)&lt;=ABS(C9)*0.01,"OK","Check")))</f>
        <v>Not yet</v>
      </c>
    </row>
    <row r="10" customFormat="false" ht="15" hidden="false" customHeight="false" outlineLevel="0" collapsed="false">
      <c r="A10" s="3" t="s">
        <v>225</v>
      </c>
      <c r="B10" s="33" t="n">
        <f aca="false">'Model A'!D19</f>
        <v>0</v>
      </c>
      <c r="C10" s="11" t="n">
        <v>201.6</v>
      </c>
      <c r="D10" s="34" t="str">
        <f aca="false">IF(ISNUMBER(B10),B10-C10,"")</f>
        <v/>
      </c>
      <c r="E10" s="2" t="str">
        <f aca="false">IF(NOT(ISNUMBER(B10)),"Not yet",IF(B10=0,"Not yet",IF(ABS(B10-C10)&lt;=ABS(C10)*0.01,"OK","Check")))</f>
        <v>Not yet</v>
      </c>
    </row>
    <row r="11" customFormat="false" ht="15" hidden="false" customHeight="false" outlineLevel="0" collapsed="false">
      <c r="A11" s="3" t="s">
        <v>226</v>
      </c>
      <c r="B11" s="33" t="n">
        <f aca="false">'Model C'!D7</f>
        <v>0</v>
      </c>
      <c r="C11" s="11" t="n">
        <v>24225</v>
      </c>
      <c r="D11" s="34" t="str">
        <f aca="false">IF(ISNUMBER(B11),B11-C11,"")</f>
        <v/>
      </c>
      <c r="E11" s="2" t="str">
        <f aca="false">IF(NOT(ISNUMBER(B11)),"Not yet",IF(B11=0,"Not yet",IF(ABS(B11-C11)&lt;=ABS(C11)*0.01,"OK","Check")))</f>
        <v>Not yet</v>
      </c>
    </row>
    <row r="12" customFormat="false" ht="15" hidden="false" customHeight="false" outlineLevel="0" collapsed="false">
      <c r="A12" s="3" t="s">
        <v>227</v>
      </c>
      <c r="B12" s="32" t="n">
        <f aca="false">'Model C'!D8</f>
        <v>0</v>
      </c>
      <c r="C12" s="8" t="n">
        <v>9205.5</v>
      </c>
      <c r="D12" s="28" t="str">
        <f aca="false">IF(ISNUMBER(B12),B12-C12,"")</f>
        <v/>
      </c>
      <c r="E12" s="2" t="str">
        <f aca="false">IF(NOT(ISNUMBER(B12)),"Not yet",IF(B12=0,"Not yet",IF(ABS(B12-C12)&lt;=ABS(C12)*0.01,"OK","Check")))</f>
        <v>Not yet</v>
      </c>
    </row>
    <row r="13" customFormat="false" ht="15" hidden="false" customHeight="false" outlineLevel="0" collapsed="false">
      <c r="A13" s="3" t="s">
        <v>228</v>
      </c>
      <c r="B13" s="32" t="n">
        <f aca="false">'Model C'!D9</f>
        <v>0</v>
      </c>
      <c r="C13" s="8" t="n">
        <v>6056.25</v>
      </c>
      <c r="D13" s="28" t="str">
        <f aca="false">IF(ISNUMBER(B13),B13-C13,"")</f>
        <v/>
      </c>
      <c r="E13" s="2" t="str">
        <f aca="false">IF(NOT(ISNUMBER(B13)),"Not yet",IF(B13=0,"Not yet",IF(ABS(B13-C13)&lt;=ABS(C13)*0.01,"OK","Check")))</f>
        <v>Not yet</v>
      </c>
    </row>
    <row r="14" customFormat="false" ht="15" hidden="false" customHeight="false" outlineLevel="0" collapsed="false">
      <c r="A14" s="3" t="s">
        <v>229</v>
      </c>
      <c r="B14" s="32" t="n">
        <f aca="false">'Model C'!D13</f>
        <v>0</v>
      </c>
      <c r="C14" s="8" t="n">
        <v>27253.125</v>
      </c>
      <c r="D14" s="28" t="str">
        <f aca="false">IF(ISNUMBER(B14),B14-C14,"")</f>
        <v/>
      </c>
      <c r="E14" s="2" t="str">
        <f aca="false">IF(NOT(ISNUMBER(B14)),"Not yet",IF(B14=0,"Not yet",IF(ABS(B14-C14)&lt;=ABS(C14)*0.01,"OK","Check")))</f>
        <v>Not yet</v>
      </c>
    </row>
    <row r="15" customFormat="false" ht="15" hidden="false" customHeight="false" outlineLevel="0" collapsed="false">
      <c r="A15" s="3" t="s">
        <v>230</v>
      </c>
      <c r="B15" s="32" t="n">
        <f aca="false">'Model C'!D14</f>
        <v>0</v>
      </c>
      <c r="C15" s="8" t="n">
        <v>10491.375</v>
      </c>
      <c r="D15" s="28" t="str">
        <f aca="false">IF(ISNUMBER(B15),B15-C15,"")</f>
        <v/>
      </c>
      <c r="E15" s="2" t="str">
        <f aca="false">IF(NOT(ISNUMBER(B15)),"Not yet",IF(B15=0,"Not yet",IF(ABS(B15-C15)&lt;=ABS(C15)*0.01,"OK","Check")))</f>
        <v>Not yet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2026-10-21T10:21:13Z</dcterms:created>
  <dc:creator>openpyxl</dc:creator>
  <dc:description/>
  <dc:language>en-US</dc:language>
  <cp:lastModifiedBy/>
  <dcterms:modified xsi:type="dcterms:W3CDTF">2026-10-21T10:21:13Z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